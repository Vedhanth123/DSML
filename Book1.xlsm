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vedh\OneDrive\Desktop\"/>
    </mc:Choice>
  </mc:AlternateContent>
  <xr:revisionPtr revIDLastSave="0" documentId="8_{AF2DC054-6C06-4E12-93F3-8D7D328FECCB}" xr6:coauthVersionLast="47" xr6:coauthVersionMax="47" xr10:uidLastSave="{00000000-0000-0000-0000-000000000000}"/>
  <bookViews>
    <workbookView xWindow="-120" yWindow="-120" windowWidth="29040" windowHeight="15720" xr2:uid="{91F7F320-E186-4C76-8965-CB5D78260F8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D3" i="1" s="1"/>
  <c r="E3" i="1" s="1"/>
  <c r="C4" i="1"/>
  <c r="D4" i="1" s="1"/>
  <c r="E4" i="1" s="1"/>
  <c r="C5" i="1"/>
  <c r="D5" i="1" s="1"/>
  <c r="E5" i="1" s="1"/>
  <c r="C6" i="1"/>
  <c r="D6" i="1" s="1"/>
  <c r="E6" i="1" s="1"/>
  <c r="C7" i="1"/>
  <c r="D7" i="1" s="1"/>
  <c r="E7" i="1" s="1"/>
  <c r="C8" i="1"/>
  <c r="D8" i="1" s="1"/>
  <c r="E8" i="1" s="1"/>
  <c r="C9" i="1"/>
  <c r="D9" i="1" s="1"/>
  <c r="E9" i="1" s="1"/>
  <c r="C10" i="1"/>
  <c r="D10" i="1" s="1"/>
  <c r="E10" i="1" s="1"/>
  <c r="C11" i="1"/>
  <c r="D11" i="1" s="1"/>
  <c r="E11" i="1" s="1"/>
  <c r="C2" i="1"/>
  <c r="D2" i="1" s="1"/>
  <c r="E2" i="1" s="1"/>
  <c r="G2" i="1" l="1"/>
  <c r="F11" i="1"/>
  <c r="F10" i="1"/>
  <c r="F2" i="1"/>
  <c r="F9" i="1"/>
  <c r="F7" i="1"/>
  <c r="F6" i="1"/>
  <c r="F5" i="1"/>
  <c r="F8" i="1"/>
  <c r="F4" i="1"/>
  <c r="F3" i="1"/>
  <c r="K2" i="1" s="1"/>
  <c r="I5" i="1" s="1"/>
  <c r="J2" i="1"/>
  <c r="H5" i="1" s="1"/>
</calcChain>
</file>

<file path=xl/sharedStrings.xml><?xml version="1.0" encoding="utf-8"?>
<sst xmlns="http://schemas.openxmlformats.org/spreadsheetml/2006/main" count="20" uniqueCount="19">
  <si>
    <t>Dist</t>
  </si>
  <si>
    <t>Fare</t>
  </si>
  <si>
    <t>T0</t>
  </si>
  <si>
    <t>T1</t>
  </si>
  <si>
    <t>Pred_Fare</t>
  </si>
  <si>
    <t>SQ. Error</t>
  </si>
  <si>
    <t>mse</t>
  </si>
  <si>
    <t>dJ/dT1</t>
  </si>
  <si>
    <t>Error = dJ/dT0</t>
  </si>
  <si>
    <t>dJ/dT0</t>
  </si>
  <si>
    <t>Veg Burger</t>
  </si>
  <si>
    <t>Veg Classic Margheritta</t>
  </si>
  <si>
    <t>Veg Biryani</t>
  </si>
  <si>
    <t>Classic Veg Sandwich</t>
  </si>
  <si>
    <t>UPI ID</t>
  </si>
  <si>
    <t>9370294588@paytm</t>
  </si>
  <si>
    <t>alpha</t>
  </si>
  <si>
    <t>UT0</t>
  </si>
  <si>
    <t>UT1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</si>
</sst>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0" applyFont="1"/>
    <xf numFmtId="0" fontId="3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9370294588@pay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66B1-C246-48B9-A6F0-E5D136810D08}">
  <sheetPr codeName="Sheet1"/>
  <dimension ref="A1:L11"/>
  <sheetViews>
    <sheetView tabSelected="1" zoomScale="250" zoomScaleNormal="250" workbookViewId="0">
      <selection activeCell="H2" sqref="H2:I2"/>
    </sheetView>
  </sheetViews>
  <sheetFormatPr defaultRowHeight="15" x14ac:dyDescent="0.25"/>
  <cols>
    <col min="4" max="4" width="13.140625" bestFit="1" customWidth="1"/>
  </cols>
  <sheetData>
    <row r="1" spans="1:12" x14ac:dyDescent="0.25">
      <c r="A1" t="s">
        <v>0</v>
      </c>
      <c r="B1" t="s">
        <v>1</v>
      </c>
      <c r="C1" t="s">
        <v>4</v>
      </c>
      <c r="D1" t="s">
        <v>8</v>
      </c>
      <c r="E1" t="s">
        <v>5</v>
      </c>
      <c r="F1" t="s">
        <v>7</v>
      </c>
      <c r="G1" t="s">
        <v>6</v>
      </c>
      <c r="H1" t="s">
        <v>2</v>
      </c>
      <c r="I1" t="s">
        <v>3</v>
      </c>
      <c r="J1" t="s">
        <v>9</v>
      </c>
      <c r="K1" t="s">
        <v>7</v>
      </c>
      <c r="L1" t="s">
        <v>16</v>
      </c>
    </row>
    <row r="2" spans="1:12" x14ac:dyDescent="0.25">
      <c r="A2">
        <v>2</v>
      </c>
      <c r="B2">
        <v>20</v>
      </c>
      <c r="C2">
        <f>($H$2+($I$2*A2))</f>
        <v>14.378</v>
      </c>
      <c r="D2">
        <f>C2-B2</f>
        <v>-5.6219999999999999</v>
      </c>
      <c r="E2">
        <f>D2^2</f>
        <v>31.606883999999997</v>
      </c>
      <c r="F2">
        <f>D2*A2</f>
        <v>-11.244</v>
      </c>
      <c r="G2">
        <f>AVERAGE(E2:E11)</f>
        <v>1228.4342088000001</v>
      </c>
      <c r="H2">
        <v>1.65</v>
      </c>
      <c r="I2">
        <v>6.3639999999999999</v>
      </c>
      <c r="J2">
        <f>AVERAGE(D2:D11)</f>
        <v>-28.947600000000001</v>
      </c>
      <c r="K2">
        <f>AVERAGE(F2:F11)</f>
        <v>-248.89079999999998</v>
      </c>
      <c r="L2">
        <v>0.01</v>
      </c>
    </row>
    <row r="3" spans="1:12" x14ac:dyDescent="0.25">
      <c r="A3">
        <v>3</v>
      </c>
      <c r="B3">
        <v>28</v>
      </c>
      <c r="C3">
        <f t="shared" ref="C3:C11" si="0">($H$2+($I$2*A3))</f>
        <v>20.741999999999997</v>
      </c>
      <c r="D3">
        <f t="shared" ref="D3:D11" si="1">C3-B3</f>
        <v>-7.2580000000000027</v>
      </c>
      <c r="E3">
        <f t="shared" ref="E3:E11" si="2">D3^2</f>
        <v>52.678564000000037</v>
      </c>
      <c r="F3">
        <f t="shared" ref="F3:F11" si="3">D3*A3</f>
        <v>-21.774000000000008</v>
      </c>
    </row>
    <row r="4" spans="1:12" x14ac:dyDescent="0.25">
      <c r="A4">
        <v>4</v>
      </c>
      <c r="B4">
        <v>39</v>
      </c>
      <c r="C4">
        <f t="shared" si="0"/>
        <v>27.105999999999998</v>
      </c>
      <c r="D4">
        <f t="shared" si="1"/>
        <v>-11.894000000000002</v>
      </c>
      <c r="E4">
        <f t="shared" si="2"/>
        <v>141.46723600000004</v>
      </c>
      <c r="F4">
        <f t="shared" si="3"/>
        <v>-47.576000000000008</v>
      </c>
      <c r="H4" t="s">
        <v>17</v>
      </c>
      <c r="I4" t="s">
        <v>18</v>
      </c>
    </row>
    <row r="5" spans="1:12" x14ac:dyDescent="0.25">
      <c r="A5">
        <v>5</v>
      </c>
      <c r="B5">
        <v>42</v>
      </c>
      <c r="C5">
        <f t="shared" si="0"/>
        <v>33.47</v>
      </c>
      <c r="D5">
        <f t="shared" si="1"/>
        <v>-8.5300000000000011</v>
      </c>
      <c r="E5">
        <f t="shared" si="2"/>
        <v>72.760900000000021</v>
      </c>
      <c r="F5">
        <f t="shared" si="3"/>
        <v>-42.650000000000006</v>
      </c>
      <c r="H5">
        <f>H2-(L2*J2)</f>
        <v>1.939476</v>
      </c>
      <c r="I5">
        <f>(I2-(L2*K2))</f>
        <v>8.8529079999999993</v>
      </c>
    </row>
    <row r="6" spans="1:12" x14ac:dyDescent="0.25">
      <c r="A6">
        <v>6</v>
      </c>
      <c r="B6">
        <v>67</v>
      </c>
      <c r="C6">
        <f t="shared" si="0"/>
        <v>39.833999999999996</v>
      </c>
      <c r="D6">
        <f t="shared" si="1"/>
        <v>-27.166000000000004</v>
      </c>
      <c r="E6">
        <f t="shared" si="2"/>
        <v>737.99155600000017</v>
      </c>
      <c r="F6">
        <f t="shared" si="3"/>
        <v>-162.99600000000004</v>
      </c>
    </row>
    <row r="7" spans="1:12" x14ac:dyDescent="0.25">
      <c r="A7">
        <v>7</v>
      </c>
      <c r="B7">
        <v>72</v>
      </c>
      <c r="C7">
        <f t="shared" si="0"/>
        <v>46.198</v>
      </c>
      <c r="D7">
        <f t="shared" si="1"/>
        <v>-25.802</v>
      </c>
      <c r="E7">
        <f t="shared" si="2"/>
        <v>665.74320399999999</v>
      </c>
      <c r="F7">
        <f t="shared" si="3"/>
        <v>-180.614</v>
      </c>
    </row>
    <row r="8" spans="1:12" x14ac:dyDescent="0.25">
      <c r="A8">
        <v>8</v>
      </c>
      <c r="B8">
        <v>90</v>
      </c>
      <c r="C8">
        <f t="shared" si="0"/>
        <v>52.561999999999998</v>
      </c>
      <c r="D8">
        <f t="shared" si="1"/>
        <v>-37.438000000000002</v>
      </c>
      <c r="E8">
        <f t="shared" si="2"/>
        <v>1401.6038440000002</v>
      </c>
      <c r="F8">
        <f t="shared" si="3"/>
        <v>-299.50400000000002</v>
      </c>
    </row>
    <row r="9" spans="1:12" x14ac:dyDescent="0.25">
      <c r="A9">
        <v>9</v>
      </c>
      <c r="B9">
        <v>112</v>
      </c>
      <c r="C9">
        <f t="shared" si="0"/>
        <v>58.925999999999995</v>
      </c>
      <c r="D9">
        <f t="shared" si="1"/>
        <v>-53.074000000000005</v>
      </c>
      <c r="E9">
        <f t="shared" si="2"/>
        <v>2816.8494760000003</v>
      </c>
      <c r="F9">
        <f t="shared" si="3"/>
        <v>-477.66600000000005</v>
      </c>
    </row>
    <row r="10" spans="1:12" x14ac:dyDescent="0.25">
      <c r="A10">
        <v>10</v>
      </c>
      <c r="B10">
        <v>119</v>
      </c>
      <c r="C10">
        <f t="shared" si="0"/>
        <v>65.290000000000006</v>
      </c>
      <c r="D10">
        <f t="shared" si="1"/>
        <v>-53.709999999999994</v>
      </c>
      <c r="E10">
        <f t="shared" si="2"/>
        <v>2884.7640999999994</v>
      </c>
      <c r="F10">
        <f t="shared" si="3"/>
        <v>-537.09999999999991</v>
      </c>
    </row>
    <row r="11" spans="1:12" x14ac:dyDescent="0.25">
      <c r="A11">
        <v>12</v>
      </c>
      <c r="B11">
        <v>137</v>
      </c>
      <c r="C11">
        <f t="shared" si="0"/>
        <v>78.018000000000001</v>
      </c>
      <c r="D11">
        <f t="shared" si="1"/>
        <v>-58.981999999999999</v>
      </c>
      <c r="E11">
        <f t="shared" si="2"/>
        <v>3478.8763239999998</v>
      </c>
      <c r="F11">
        <f t="shared" si="3"/>
        <v>-707.78399999999999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FBBD-C5EA-4468-8CF0-29DFF4575DD4}">
  <sheetPr codeName="Sheet2"/>
  <dimension ref="A1:C10"/>
  <sheetViews>
    <sheetView zoomScale="205" zoomScaleNormal="205" workbookViewId="0"/>
  </sheetViews>
  <sheetFormatPr defaultRowHeight="15" x14ac:dyDescent="0.25"/>
  <cols>
    <col min="1" max="1" width="42.28515625" bestFit="1" customWidth="1"/>
    <col min="2" max="2" width="38.28515625" bestFit="1" customWidth="1"/>
  </cols>
  <sheetData>
    <row r="1" spans="1:3" ht="28.5" x14ac:dyDescent="0.45">
      <c r="A1" s="1" t="s">
        <v>10</v>
      </c>
      <c r="B1" s="1">
        <v>84</v>
      </c>
      <c r="C1" s="1"/>
    </row>
    <row r="2" spans="1:3" ht="28.5" x14ac:dyDescent="0.45">
      <c r="A2" s="1" t="s">
        <v>11</v>
      </c>
      <c r="B2" s="1">
        <v>126</v>
      </c>
      <c r="C2" s="1"/>
    </row>
    <row r="3" spans="1:3" ht="28.5" x14ac:dyDescent="0.45">
      <c r="A3" s="1" t="s">
        <v>12</v>
      </c>
      <c r="B3" s="1">
        <v>125</v>
      </c>
      <c r="C3" s="1"/>
    </row>
    <row r="4" spans="1:3" ht="28.5" x14ac:dyDescent="0.45">
      <c r="A4" s="1" t="s">
        <v>13</v>
      </c>
      <c r="B4" s="1">
        <v>105</v>
      </c>
      <c r="C4" s="1"/>
    </row>
    <row r="5" spans="1:3" ht="28.5" x14ac:dyDescent="0.45">
      <c r="A5" s="1"/>
      <c r="B5" s="1"/>
      <c r="C5" s="1"/>
    </row>
    <row r="6" spans="1:3" ht="28.5" x14ac:dyDescent="0.45">
      <c r="A6" s="1"/>
      <c r="B6" s="1"/>
      <c r="C6" s="1"/>
    </row>
    <row r="7" spans="1:3" ht="28.5" x14ac:dyDescent="0.45">
      <c r="A7" s="1" t="s">
        <v>14</v>
      </c>
      <c r="B7" s="2" t="s">
        <v>15</v>
      </c>
      <c r="C7" s="1"/>
    </row>
    <row r="8" spans="1:3" ht="28.5" x14ac:dyDescent="0.45">
      <c r="A8" s="1"/>
      <c r="B8" s="1"/>
      <c r="C8" s="1"/>
    </row>
    <row r="9" spans="1:3" ht="28.5" x14ac:dyDescent="0.45">
      <c r="A9" s="1"/>
      <c r="B9" s="1"/>
      <c r="C9" s="1"/>
    </row>
    <row r="10" spans="1:3" ht="28.5" x14ac:dyDescent="0.45">
      <c r="A10" s="1"/>
      <c r="B10" s="1"/>
      <c r="C10" s="1"/>
    </row>
  </sheetData>
  <hyperlinks>
    <hyperlink ref="B7" r:id="rId1" xr:uid="{089A6208-E817-4DF7-8335-8F1250A4732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vedhanth g</dc:creator>
  <cp:lastModifiedBy>vedhanth g</cp:lastModifiedBy>
  <dcterms:created xsi:type="dcterms:W3CDTF">2022-09-24T08:05:46Z</dcterms:created>
  <dcterms:modified xsi:type="dcterms:W3CDTF">2022-09-24T08:32:41Z</dcterms:modified>
</cp:coreProperties>
</file>